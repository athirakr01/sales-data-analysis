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1"/>
  </bookViews>
  <sheets>
    <sheet name="pivot_table" sheetId="3" r:id="rId1"/>
    <sheet name="healthcare_readmission_analysis" sheetId="1" r:id="rId2"/>
    <sheet name="few_raw_columns" sheetId="2" r:id="rId3"/>
    <sheet name="charts" sheetId="4" r:id="rId4"/>
  </sheets>
  <calcPr calcId="125725"/>
  <pivotCaches>
    <pivotCache cacheId="1" r:id="rId5"/>
  </pivotCaches>
</workbook>
</file>

<file path=xl/calcChain.xml><?xml version="1.0" encoding="utf-8"?>
<calcChain xmlns="http://schemas.openxmlformats.org/spreadsheetml/2006/main">
  <c r="M2" i="1"/>
  <c r="M3"/>
  <c r="M4"/>
  <c r="M5"/>
  <c r="M6"/>
  <c r="M7"/>
  <c r="M8"/>
  <c r="M9"/>
  <c r="M10"/>
  <c r="M11"/>
  <c r="L6"/>
  <c r="N6" s="1"/>
  <c r="K2"/>
  <c r="K3"/>
  <c r="K4"/>
  <c r="K5"/>
  <c r="K6"/>
  <c r="K7"/>
  <c r="K8"/>
  <c r="K9"/>
  <c r="K10"/>
  <c r="K11"/>
  <c r="J2"/>
  <c r="J3"/>
  <c r="J4"/>
  <c r="J5"/>
  <c r="J6"/>
  <c r="J7"/>
  <c r="J8"/>
  <c r="J9"/>
  <c r="J11"/>
  <c r="I2"/>
  <c r="L2" s="1"/>
  <c r="N2" s="1"/>
  <c r="I3"/>
  <c r="L3" s="1"/>
  <c r="N3" s="1"/>
  <c r="I4"/>
  <c r="L4" s="1"/>
  <c r="N4" s="1"/>
  <c r="I5"/>
  <c r="L5" s="1"/>
  <c r="N5" s="1"/>
  <c r="I7"/>
  <c r="L7" s="1"/>
  <c r="N7" s="1"/>
  <c r="I8"/>
  <c r="L8" s="1"/>
  <c r="N8" s="1"/>
  <c r="I9"/>
  <c r="L9" s="1"/>
  <c r="N9" s="1"/>
  <c r="I10"/>
  <c r="L10" s="1"/>
  <c r="N10" s="1"/>
  <c r="I11"/>
  <c r="L11" s="1"/>
  <c r="N11" s="1"/>
  <c r="H2"/>
  <c r="H3"/>
  <c r="H4"/>
  <c r="H5"/>
  <c r="H6"/>
  <c r="H7"/>
  <c r="H8"/>
  <c r="H9"/>
  <c r="H10"/>
  <c r="H11"/>
</calcChain>
</file>

<file path=xl/sharedStrings.xml><?xml version="1.0" encoding="utf-8"?>
<sst xmlns="http://schemas.openxmlformats.org/spreadsheetml/2006/main" count="114" uniqueCount="55">
  <si>
    <t>patient_id</t>
  </si>
  <si>
    <t>age</t>
  </si>
  <si>
    <t>gender</t>
  </si>
  <si>
    <t>diagnosis</t>
  </si>
  <si>
    <t>length_of_stay</t>
  </si>
  <si>
    <t>systolic_bp</t>
  </si>
  <si>
    <t>cholesterol</t>
  </si>
  <si>
    <t>previous_admissions</t>
  </si>
  <si>
    <t>readmitted</t>
  </si>
  <si>
    <t>admission_date</t>
  </si>
  <si>
    <t>P001</t>
  </si>
  <si>
    <t>M</t>
  </si>
  <si>
    <t>Heart Failure</t>
  </si>
  <si>
    <t>Yes</t>
  </si>
  <si>
    <t>P002</t>
  </si>
  <si>
    <t>female</t>
  </si>
  <si>
    <t>Diabetes</t>
  </si>
  <si>
    <t>No</t>
  </si>
  <si>
    <t>P003</t>
  </si>
  <si>
    <t>MALE</t>
  </si>
  <si>
    <t>Hypertension</t>
  </si>
  <si>
    <t>P004</t>
  </si>
  <si>
    <t>F</t>
  </si>
  <si>
    <t>Asthma</t>
  </si>
  <si>
    <t>P005</t>
  </si>
  <si>
    <t>male</t>
  </si>
  <si>
    <t>P006</t>
  </si>
  <si>
    <t>FEMALE</t>
  </si>
  <si>
    <t>P007</t>
  </si>
  <si>
    <t>P008</t>
  </si>
  <si>
    <t>f</t>
  </si>
  <si>
    <t>P009</t>
  </si>
  <si>
    <t>P010</t>
  </si>
  <si>
    <t>Female</t>
  </si>
  <si>
    <t>gender_clean</t>
  </si>
  <si>
    <t>systolic_bp_clean</t>
  </si>
  <si>
    <t>cholesterol_clean</t>
  </si>
  <si>
    <t>age_group</t>
  </si>
  <si>
    <t>bp_risk_level</t>
  </si>
  <si>
    <t>stay_category</t>
  </si>
  <si>
    <t>readmission_risk_flag</t>
  </si>
  <si>
    <t>diagnosis2</t>
  </si>
  <si>
    <t>Row Labels</t>
  </si>
  <si>
    <t>Grand Total</t>
  </si>
  <si>
    <t>Count of readmitted</t>
  </si>
  <si>
    <t>(All)</t>
  </si>
  <si>
    <t>Middle</t>
  </si>
  <si>
    <t>Senior</t>
  </si>
  <si>
    <t>Long</t>
  </si>
  <si>
    <t>Medium</t>
  </si>
  <si>
    <t>High Risk</t>
  </si>
  <si>
    <t>Low Risk</t>
  </si>
  <si>
    <t>Elevated</t>
  </si>
  <si>
    <t>High</t>
  </si>
  <si>
    <t>Normal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</si>
</sst>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3" fillId="33" borderId="10" xfId="0" applyFont="1" applyFill="1" applyBorder="1"/>
    <xf numFmtId="0" fontId="0" fillId="34" borderId="11" xfId="0" applyFont="1" applyFill="1" applyBorder="1"/>
    <xf numFmtId="0" fontId="0" fillId="35" borderId="11" xfId="0" applyFont="1" applyFill="1" applyBorder="1"/>
    <xf numFmtId="0" fontId="0" fillId="35" borderId="12" xfId="0" applyFont="1" applyFill="1" applyBorder="1"/>
    <xf numFmtId="0" fontId="13" fillId="33" borderId="13" xfId="0" applyFont="1" applyFill="1" applyBorder="1"/>
    <xf numFmtId="0" fontId="0" fillId="34" borderId="14" xfId="0" applyFont="1" applyFill="1" applyBorder="1"/>
    <xf numFmtId="0" fontId="0" fillId="35" borderId="14" xfId="0" applyFont="1" applyFill="1" applyBorder="1"/>
    <xf numFmtId="0" fontId="0" fillId="35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right style="thin">
          <color theme="0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[healthcare_readmission_cleaned.xlsx]pivot_table!PivotTable1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baseline="0"/>
              <a:t>Readmission by Diagnosis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pivot_table!$A$4:$A$7</c:f>
              <c:strCache>
                <c:ptCount val="3"/>
                <c:pt idx="0">
                  <c:v>Diabetes</c:v>
                </c:pt>
                <c:pt idx="1">
                  <c:v>Heart Failure</c:v>
                </c:pt>
                <c:pt idx="2">
                  <c:v>Hypertension</c:v>
                </c:pt>
              </c:strCache>
            </c:strRef>
          </c:cat>
          <c:val>
            <c:numRef>
              <c:f>pivot_table!$B$4:$B$7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axId val="34970240"/>
        <c:axId val="47088000"/>
      </c:barChart>
      <c:catAx>
        <c:axId val="34970240"/>
        <c:scaling>
          <c:orientation val="minMax"/>
        </c:scaling>
        <c:axPos val="b"/>
        <c:tickLblPos val="nextTo"/>
        <c:crossAx val="47088000"/>
        <c:crosses val="autoZero"/>
        <c:auto val="1"/>
        <c:lblAlgn val="ctr"/>
        <c:lblOffset val="100"/>
      </c:catAx>
      <c:valAx>
        <c:axId val="47088000"/>
        <c:scaling>
          <c:orientation val="minMax"/>
        </c:scaling>
        <c:axPos val="l"/>
        <c:majorGridlines/>
        <c:numFmt formatCode="General" sourceLinked="1"/>
        <c:tickLblPos val="nextTo"/>
        <c:crossAx val="34970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[healthcare_readmission_cleaned.xlsx]pivot_table!PivotTable6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Risk-flag</a:t>
            </a:r>
            <a:r>
              <a:rPr lang="en-US" baseline="0"/>
              <a:t> Vs Readmission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873128937901841"/>
          <c:y val="0.25983359580052495"/>
          <c:w val="0.60107075171461877"/>
          <c:h val="0.55315538057742786"/>
        </c:manualLayout>
      </c:layout>
      <c:barChart>
        <c:barDir val="bar"/>
        <c:grouping val="clustered"/>
        <c:ser>
          <c:idx val="0"/>
          <c:order val="0"/>
          <c:tx>
            <c:strRef>
              <c:f>pivot_table!$F$4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pivot_table!$E$5:$E$7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pivot_table!$F$5:$F$7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</c:ser>
        <c:axId val="47139072"/>
        <c:axId val="47316992"/>
      </c:barChart>
      <c:catAx>
        <c:axId val="47139072"/>
        <c:scaling>
          <c:orientation val="minMax"/>
        </c:scaling>
        <c:axPos val="l"/>
        <c:tickLblPos val="nextTo"/>
        <c:crossAx val="47316992"/>
        <c:crosses val="autoZero"/>
        <c:auto val="1"/>
        <c:lblAlgn val="ctr"/>
        <c:lblOffset val="100"/>
      </c:catAx>
      <c:valAx>
        <c:axId val="47316992"/>
        <c:scaling>
          <c:orientation val="minMax"/>
        </c:scaling>
        <c:axPos val="b"/>
        <c:majorGridlines/>
        <c:numFmt formatCode="General" sourceLinked="1"/>
        <c:tickLblPos val="nextTo"/>
        <c:crossAx val="47139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4</xdr:col>
      <xdr:colOff>114300</xdr:colOff>
      <xdr:row>11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0</xdr:row>
      <xdr:rowOff>0</xdr:rowOff>
    </xdr:from>
    <xdr:to>
      <xdr:col>11</xdr:col>
      <xdr:colOff>447675</xdr:colOff>
      <xdr:row>10</xdr:row>
      <xdr:rowOff>180974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0.488696064815" createdVersion="3" refreshedVersion="3" minRefreshableVersion="3" recordCount="10">
  <cacheSource type="worksheet">
    <worksheetSource name="Table1"/>
  </cacheSource>
  <cacheFields count="14">
    <cacheField name="patient_id" numFmtId="0">
      <sharedItems/>
    </cacheField>
    <cacheField name="age" numFmtId="0">
      <sharedItems containsSemiMixedTypes="0" containsString="0" containsNumber="1" containsInteger="1" minValue="29" maxValue="80"/>
    </cacheField>
    <cacheField name="length_of_stay" numFmtId="0">
      <sharedItems containsSemiMixedTypes="0" containsString="0" containsNumber="1" containsInteger="1" minValue="2" maxValue="14" count="9">
        <n v="9"/>
        <n v="4"/>
        <n v="7"/>
        <n v="2"/>
        <n v="5"/>
        <n v="11"/>
        <n v="3"/>
        <n v="14"/>
        <n v="8"/>
      </sharedItems>
    </cacheField>
    <cacheField name="previous_admissions" numFmtId="0">
      <sharedItems containsSemiMixedTypes="0" containsString="0" containsNumber="1" containsInteger="1" minValue="0" maxValue="5"/>
    </cacheField>
    <cacheField name="diagnosis" numFmtId="0">
      <sharedItems count="4">
        <s v="Heart Failure"/>
        <s v="Diabetes"/>
        <s v="Hypertension"/>
        <s v="Asthma"/>
      </sharedItems>
    </cacheField>
    <cacheField name="readmitted" numFmtId="0">
      <sharedItems count="2">
        <s v="Yes"/>
        <s v="No"/>
      </sharedItems>
    </cacheField>
    <cacheField name="admission_date" numFmtId="14">
      <sharedItems containsSemiMixedTypes="0" containsNonDate="0" containsDate="1" containsString="0" minDate="2024-01-10T00:00:00" maxDate="2024-02-06T00:00:00"/>
    </cacheField>
    <cacheField name="gender_clean" numFmtId="0">
      <sharedItems/>
    </cacheField>
    <cacheField name="systolic_bp_clean" numFmtId="0">
      <sharedItems containsSemiMixedTypes="0" containsString="0" containsNumber="1" containsInteger="1" minValue="118" maxValue="180"/>
    </cacheField>
    <cacheField name="cholesterol_clean" numFmtId="0">
      <sharedItems containsSemiMixedTypes="0" containsString="0" containsNumber="1" containsInteger="1" minValue="180" maxValue="300"/>
    </cacheField>
    <cacheField name="age_group" numFmtId="0">
      <sharedItems count="3">
        <s v="Senior"/>
        <s v="Middle"/>
        <s v="Young"/>
      </sharedItems>
    </cacheField>
    <cacheField name="bp_risk_level" numFmtId="0">
      <sharedItems count="3">
        <s v="High"/>
        <s v="Elevated"/>
        <s v="Normal"/>
      </sharedItems>
    </cacheField>
    <cacheField name="stay_category" numFmtId="0">
      <sharedItems count="3">
        <s v="Long"/>
        <s v="Medium"/>
        <s v="Short"/>
      </sharedItems>
    </cacheField>
    <cacheField name="readmission_risk_flag" numFmtId="0">
      <sharedItems count="2">
        <s v="High Risk"/>
        <s v="Low Risk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P001"/>
    <n v="67"/>
    <x v="0"/>
    <n v="2"/>
    <x v="0"/>
    <x v="0"/>
    <d v="2024-01-10T00:00:00"/>
    <s v="Male"/>
    <n v="150"/>
    <n v="240"/>
    <x v="0"/>
    <x v="0"/>
    <x v="0"/>
    <x v="0"/>
  </r>
  <r>
    <s v="P002"/>
    <n v="45"/>
    <x v="1"/>
    <n v="0"/>
    <x v="1"/>
    <x v="1"/>
    <d v="2024-01-12T00:00:00"/>
    <s v="Female"/>
    <n v="130"/>
    <n v="210"/>
    <x v="1"/>
    <x v="1"/>
    <x v="1"/>
    <x v="1"/>
  </r>
  <r>
    <s v="P003"/>
    <n v="72"/>
    <x v="2"/>
    <n v="3"/>
    <x v="2"/>
    <x v="0"/>
    <d v="2024-01-15T00:00:00"/>
    <s v="Male"/>
    <n v="165"/>
    <n v="260"/>
    <x v="0"/>
    <x v="0"/>
    <x v="1"/>
    <x v="0"/>
  </r>
  <r>
    <s v="P004"/>
    <n v="29"/>
    <x v="3"/>
    <n v="0"/>
    <x v="3"/>
    <x v="1"/>
    <d v="2024-01-18T00:00:00"/>
    <s v="Female"/>
    <n v="118"/>
    <n v="180"/>
    <x v="2"/>
    <x v="2"/>
    <x v="2"/>
    <x v="1"/>
  </r>
  <r>
    <s v="P005"/>
    <n v="55"/>
    <x v="4"/>
    <n v="1"/>
    <x v="1"/>
    <x v="0"/>
    <d v="2024-01-20T00:00:00"/>
    <s v="Male"/>
    <n v="150"/>
    <n v="220"/>
    <x v="1"/>
    <x v="0"/>
    <x v="1"/>
    <x v="1"/>
  </r>
  <r>
    <s v="P006"/>
    <n v="61"/>
    <x v="5"/>
    <n v="4"/>
    <x v="0"/>
    <x v="0"/>
    <d v="2024-01-22T00:00:00"/>
    <s v="Female"/>
    <n v="170"/>
    <n v="280"/>
    <x v="0"/>
    <x v="0"/>
    <x v="0"/>
    <x v="0"/>
  </r>
  <r>
    <s v="P007"/>
    <n v="38"/>
    <x v="6"/>
    <n v="1"/>
    <x v="2"/>
    <x v="1"/>
    <d v="2024-01-25T00:00:00"/>
    <s v="Male"/>
    <n v="142"/>
    <n v="200"/>
    <x v="2"/>
    <x v="0"/>
    <x v="2"/>
    <x v="1"/>
  </r>
  <r>
    <s v="P008"/>
    <n v="80"/>
    <x v="7"/>
    <n v="5"/>
    <x v="0"/>
    <x v="0"/>
    <d v="2024-01-28T00:00:00"/>
    <s v="Female"/>
    <n v="180"/>
    <n v="300"/>
    <x v="0"/>
    <x v="0"/>
    <x v="0"/>
    <x v="0"/>
  </r>
  <r>
    <s v="P009"/>
    <n v="50"/>
    <x v="1"/>
    <n v="0"/>
    <x v="3"/>
    <x v="1"/>
    <d v="2024-02-01T00:00:00"/>
    <s v="Male"/>
    <n v="125"/>
    <n v="240"/>
    <x v="1"/>
    <x v="1"/>
    <x v="1"/>
    <x v="1"/>
  </r>
  <r>
    <s v="P010"/>
    <n v="69"/>
    <x v="8"/>
    <n v="2"/>
    <x v="1"/>
    <x v="0"/>
    <d v="2024-02-05T00:00:00"/>
    <s v="Female"/>
    <n v="160"/>
    <n v="255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 rowPageCount="1" colPageCount="1"/>
  <pivotFields count="14"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Page" dataFiel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4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5" item="1" hier="-1"/>
  </pageFields>
  <dataFields count="1">
    <dataField name="Count of readmitted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I4:J12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2">
    <field x="11"/>
    <field x="13"/>
  </rowFields>
  <rowItems count="8">
    <i>
      <x/>
    </i>
    <i r="1">
      <x v="1"/>
    </i>
    <i>
      <x v="1"/>
    </i>
    <i r="1">
      <x/>
    </i>
    <i r="1">
      <x v="1"/>
    </i>
    <i>
      <x v="2"/>
    </i>
    <i r="1">
      <x v="1"/>
    </i>
    <i t="grand">
      <x/>
    </i>
  </rowItems>
  <colItems count="1">
    <i/>
  </colItems>
  <pageFields count="1">
    <pageField fld="5" hier="-1"/>
  </pageFields>
  <dataFields count="1">
    <dataField name="Count of readmitted" fld="5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K12:L20" firstHeaderRow="1" firstDataRow="1" firstDataCol="1" rowPageCount="1" colPageCount="1"/>
  <pivotFields count="14">
    <pivotField showAll="0"/>
    <pivotField showAll="0"/>
    <pivotField showAll="0">
      <items count="10">
        <item x="3"/>
        <item x="6"/>
        <item x="1"/>
        <item x="4"/>
        <item x="2"/>
        <item x="8"/>
        <item x="0"/>
        <item x="5"/>
        <item x="7"/>
        <item t="default"/>
      </items>
    </pivotField>
    <pivotField showAll="0"/>
    <pivotField showAll="0"/>
    <pivotField axis="axisPage" dataFiel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12"/>
    <field x="11"/>
    <field x="10"/>
  </rowFields>
  <rowItems count="8">
    <i>
      <x/>
    </i>
    <i r="1">
      <x v="1"/>
    </i>
    <i r="2">
      <x v="1"/>
    </i>
    <i>
      <x v="1"/>
    </i>
    <i r="1">
      <x v="1"/>
    </i>
    <i r="2">
      <x/>
    </i>
    <i r="2">
      <x v="1"/>
    </i>
    <i t="grand">
      <x/>
    </i>
  </rowItems>
  <colItems count="1">
    <i/>
  </colItems>
  <pageFields count="1">
    <pageField fld="5" item="1" hier="-1"/>
  </pageFields>
  <dataFields count="1">
    <dataField name="Count of readmitted" fld="5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E4:F7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pageFields count="1">
    <pageField fld="5" item="1" hier="-1"/>
  </pageFields>
  <dataFields count="1">
    <dataField name="Count of readmitted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K4:L7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5" item="1" hier="-1"/>
  </pageFields>
  <dataFields count="1">
    <dataField name="Count of readmitted" fld="5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11" totalsRowShown="0">
  <autoFilter ref="A1:N11">
    <filterColumn colId="4"/>
    <filterColumn colId="7"/>
    <filterColumn colId="8"/>
    <filterColumn colId="9"/>
    <filterColumn colId="10"/>
    <filterColumn colId="11"/>
    <filterColumn colId="12"/>
    <filterColumn colId="13"/>
  </autoFilter>
  <tableColumns count="14">
    <tableColumn id="1" name="patient_id"/>
    <tableColumn id="2" name="age"/>
    <tableColumn id="5" name="length_of_stay"/>
    <tableColumn id="8" name="previous_admissions"/>
    <tableColumn id="19" name="diagnosis" dataDxfId="12"/>
    <tableColumn id="9" name="readmitted"/>
    <tableColumn id="10" name="admission_date" dataDxfId="11"/>
    <tableColumn id="11" name="gender_clean" dataDxfId="10">
      <calculatedColumnFormula>IF(LEFT(LOWER(few_raw_columns!A2:A11),1)="m","Male","Female")</calculatedColumnFormula>
    </tableColumn>
    <tableColumn id="12" name="systolic_bp_clean" dataDxfId="9">
      <calculatedColumnFormula>IF(few_raw_columns!B2=" ",$T$1, few_raw_columns!B2)</calculatedColumnFormula>
    </tableColumn>
    <tableColumn id="13" name="cholesterol_clean" dataDxfId="8">
      <calculatedColumnFormula>IF(few_raw_columns!C2=" ",$T$1, few_raw_columns!C2)</calculatedColumnFormula>
    </tableColumn>
    <tableColumn id="14" name="age_group" dataDxfId="7">
      <calculatedColumnFormula>IF(B2&lt;40, "Young", IF(B2&lt;60, "Middle","Senior"))</calculatedColumnFormula>
    </tableColumn>
    <tableColumn id="15" name="bp_risk_level" dataDxfId="6">
      <calculatedColumnFormula>IF(I2&lt;120, "Normal", IF(I2&lt;140, "Elevated","High"))</calculatedColumnFormula>
    </tableColumn>
    <tableColumn id="16" name="stay_category" dataDxfId="5">
      <calculatedColumnFormula>IF(C2&lt;=3, "Short",IF(C2&lt;=7,"Medium","Long"))</calculatedColumnFormula>
    </tableColumn>
    <tableColumn id="17" name="readmission_risk_flag" dataDxfId="4">
      <calculatedColumnFormula>IF(AND(D2&gt;=2,L2="High"),"High Risk","Low Risk")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1" totalsRowShown="0" tableBorderDxfId="3">
  <autoFilter ref="A1:D11">
    <filterColumn colId="3"/>
  </autoFilter>
  <tableColumns count="4">
    <tableColumn id="1" name="gender"/>
    <tableColumn id="2" name="systolic_bp" dataDxfId="2"/>
    <tableColumn id="3" name="cholesterol" dataDxfId="1"/>
    <tableColumn id="4" name="diagnosis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selection activeCell="N11" sqref="N11"/>
    </sheetView>
  </sheetViews>
  <sheetFormatPr defaultRowHeight="15"/>
  <cols>
    <col min="1" max="1" width="13.140625" customWidth="1"/>
    <col min="2" max="2" width="19.28515625" customWidth="1"/>
    <col min="3" max="3" width="19.28515625" bestFit="1" customWidth="1"/>
    <col min="4" max="4" width="13.140625" customWidth="1"/>
    <col min="5" max="5" width="16.7109375" customWidth="1"/>
    <col min="6" max="6" width="18.5703125" customWidth="1"/>
    <col min="7" max="7" width="13.140625" bestFit="1" customWidth="1"/>
    <col min="8" max="8" width="19.28515625" bestFit="1" customWidth="1"/>
    <col min="9" max="9" width="12.42578125" customWidth="1"/>
    <col min="10" max="10" width="18.5703125" customWidth="1"/>
    <col min="11" max="11" width="13.140625" bestFit="1" customWidth="1"/>
    <col min="12" max="12" width="19.28515625" bestFit="1" customWidth="1"/>
  </cols>
  <sheetData>
    <row r="1" spans="1:12">
      <c r="A1" s="11" t="s">
        <v>8</v>
      </c>
      <c r="B1" t="s">
        <v>13</v>
      </c>
    </row>
    <row r="2" spans="1:12">
      <c r="E2" s="11" t="s">
        <v>8</v>
      </c>
      <c r="F2" t="s">
        <v>13</v>
      </c>
      <c r="I2" s="11" t="s">
        <v>8</v>
      </c>
      <c r="J2" t="s">
        <v>45</v>
      </c>
      <c r="K2" s="11" t="s">
        <v>8</v>
      </c>
      <c r="L2" t="s">
        <v>13</v>
      </c>
    </row>
    <row r="3" spans="1:12">
      <c r="A3" s="11" t="s">
        <v>42</v>
      </c>
      <c r="B3" t="s">
        <v>44</v>
      </c>
    </row>
    <row r="4" spans="1:12">
      <c r="A4" s="12" t="s">
        <v>16</v>
      </c>
      <c r="B4" s="2">
        <v>2</v>
      </c>
      <c r="E4" s="11" t="s">
        <v>42</v>
      </c>
      <c r="F4" t="s">
        <v>44</v>
      </c>
      <c r="I4" s="11" t="s">
        <v>42</v>
      </c>
      <c r="J4" t="s">
        <v>44</v>
      </c>
      <c r="K4" s="11" t="s">
        <v>42</v>
      </c>
      <c r="L4" t="s">
        <v>44</v>
      </c>
    </row>
    <row r="5" spans="1:12">
      <c r="A5" s="12" t="s">
        <v>12</v>
      </c>
      <c r="B5" s="2">
        <v>3</v>
      </c>
      <c r="E5" s="12" t="s">
        <v>50</v>
      </c>
      <c r="F5" s="2">
        <v>5</v>
      </c>
      <c r="I5" s="12" t="s">
        <v>52</v>
      </c>
      <c r="J5" s="2">
        <v>2</v>
      </c>
      <c r="K5" s="12" t="s">
        <v>46</v>
      </c>
      <c r="L5" s="2">
        <v>1</v>
      </c>
    </row>
    <row r="6" spans="1:12">
      <c r="A6" s="12" t="s">
        <v>20</v>
      </c>
      <c r="B6" s="2">
        <v>1</v>
      </c>
      <c r="E6" s="12" t="s">
        <v>51</v>
      </c>
      <c r="F6" s="2">
        <v>1</v>
      </c>
      <c r="I6" s="13" t="s">
        <v>51</v>
      </c>
      <c r="J6" s="2">
        <v>2</v>
      </c>
      <c r="K6" s="12" t="s">
        <v>47</v>
      </c>
      <c r="L6" s="2">
        <v>5</v>
      </c>
    </row>
    <row r="7" spans="1:12">
      <c r="A7" s="12" t="s">
        <v>43</v>
      </c>
      <c r="B7" s="2">
        <v>6</v>
      </c>
      <c r="E7" s="12" t="s">
        <v>43</v>
      </c>
      <c r="F7" s="2">
        <v>6</v>
      </c>
      <c r="I7" s="12" t="s">
        <v>53</v>
      </c>
      <c r="J7" s="2">
        <v>7</v>
      </c>
      <c r="K7" s="12" t="s">
        <v>43</v>
      </c>
      <c r="L7" s="2">
        <v>6</v>
      </c>
    </row>
    <row r="8" spans="1:12">
      <c r="I8" s="13" t="s">
        <v>50</v>
      </c>
      <c r="J8" s="2">
        <v>5</v>
      </c>
    </row>
    <row r="9" spans="1:12">
      <c r="I9" s="13" t="s">
        <v>51</v>
      </c>
      <c r="J9" s="2">
        <v>2</v>
      </c>
    </row>
    <row r="10" spans="1:12">
      <c r="I10" s="12" t="s">
        <v>54</v>
      </c>
      <c r="J10" s="2">
        <v>1</v>
      </c>
      <c r="K10" s="11" t="s">
        <v>8</v>
      </c>
      <c r="L10" t="s">
        <v>13</v>
      </c>
    </row>
    <row r="11" spans="1:12">
      <c r="I11" s="13" t="s">
        <v>51</v>
      </c>
      <c r="J11" s="2">
        <v>1</v>
      </c>
    </row>
    <row r="12" spans="1:12">
      <c r="I12" s="12" t="s">
        <v>43</v>
      </c>
      <c r="J12" s="2">
        <v>10</v>
      </c>
      <c r="K12" s="11" t="s">
        <v>42</v>
      </c>
      <c r="L12" t="s">
        <v>44</v>
      </c>
    </row>
    <row r="13" spans="1:12">
      <c r="K13" s="12" t="s">
        <v>48</v>
      </c>
      <c r="L13" s="2">
        <v>4</v>
      </c>
    </row>
    <row r="14" spans="1:12">
      <c r="K14" s="13" t="s">
        <v>53</v>
      </c>
      <c r="L14" s="2">
        <v>4</v>
      </c>
    </row>
    <row r="15" spans="1:12">
      <c r="K15" s="14" t="s">
        <v>47</v>
      </c>
      <c r="L15" s="2">
        <v>4</v>
      </c>
    </row>
    <row r="16" spans="1:12">
      <c r="K16" s="12" t="s">
        <v>49</v>
      </c>
      <c r="L16" s="2">
        <v>2</v>
      </c>
    </row>
    <row r="17" spans="11:12">
      <c r="K17" s="13" t="s">
        <v>53</v>
      </c>
      <c r="L17" s="2">
        <v>2</v>
      </c>
    </row>
    <row r="18" spans="11:12">
      <c r="K18" s="14" t="s">
        <v>46</v>
      </c>
      <c r="L18" s="2">
        <v>1</v>
      </c>
    </row>
    <row r="19" spans="11:12">
      <c r="K19" s="14" t="s">
        <v>47</v>
      </c>
      <c r="L19" s="2">
        <v>1</v>
      </c>
    </row>
    <row r="20" spans="11:12">
      <c r="K20" s="12" t="s">
        <v>43</v>
      </c>
      <c r="L20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selection activeCell="E16" sqref="E16"/>
    </sheetView>
  </sheetViews>
  <sheetFormatPr defaultColWidth="14.7109375" defaultRowHeight="21" customHeight="1"/>
  <sheetData>
    <row r="1" spans="1:14" ht="21" customHeight="1">
      <c r="A1" t="s">
        <v>0</v>
      </c>
      <c r="B1" t="s">
        <v>1</v>
      </c>
      <c r="C1" t="s">
        <v>4</v>
      </c>
      <c r="D1" t="s">
        <v>7</v>
      </c>
      <c r="E1" t="s">
        <v>3</v>
      </c>
      <c r="F1" t="s">
        <v>8</v>
      </c>
      <c r="G1" t="s">
        <v>9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</row>
    <row r="2" spans="1:14" ht="21" customHeight="1">
      <c r="A2" t="s">
        <v>10</v>
      </c>
      <c r="B2">
        <v>67</v>
      </c>
      <c r="C2">
        <v>9</v>
      </c>
      <c r="D2">
        <v>2</v>
      </c>
      <c r="E2" s="2" t="s">
        <v>12</v>
      </c>
      <c r="F2" t="s">
        <v>13</v>
      </c>
      <c r="G2" s="1">
        <v>45301</v>
      </c>
      <c r="H2" s="2" t="str">
        <f>IF(LEFT(LOWER(few_raw_columns!A2:A11),1)="m","Male","Female")</f>
        <v>Male</v>
      </c>
      <c r="I2" s="2">
        <f>IF(few_raw_columns!B2=" ",$T$1, few_raw_columns!B2)</f>
        <v>150</v>
      </c>
      <c r="J2" s="2">
        <f>IF(few_raw_columns!C2=" ",$T$1, few_raw_columns!C2)</f>
        <v>240</v>
      </c>
      <c r="K2" s="2" t="str">
        <f t="shared" ref="K2:K11" si="0">IF(B2&lt;40, "Young", IF(B2&lt;60, "Middle","Senior"))</f>
        <v>Senior</v>
      </c>
      <c r="L2" s="2" t="str">
        <f t="shared" ref="L2:L11" si="1">IF(I2&lt;120, "Normal", IF(I2&lt;140, "Elevated","High"))</f>
        <v>High</v>
      </c>
      <c r="M2" s="2" t="str">
        <f t="shared" ref="M2:M11" si="2">IF(C2&lt;=3, "Short",IF(C2&lt;=7,"Medium","Long"))</f>
        <v>Long</v>
      </c>
      <c r="N2" s="2" t="str">
        <f t="shared" ref="N2:N11" si="3">IF(AND(D2&gt;=2,L2="High"),"High Risk","Low Risk")</f>
        <v>High Risk</v>
      </c>
    </row>
    <row r="3" spans="1:14" ht="21" customHeight="1">
      <c r="A3" t="s">
        <v>14</v>
      </c>
      <c r="B3">
        <v>45</v>
      </c>
      <c r="C3">
        <v>4</v>
      </c>
      <c r="D3">
        <v>0</v>
      </c>
      <c r="E3" s="2" t="s">
        <v>16</v>
      </c>
      <c r="F3" t="s">
        <v>17</v>
      </c>
      <c r="G3" s="1">
        <v>45303</v>
      </c>
      <c r="H3" s="2" t="str">
        <f>IF(LEFT(LOWER(few_raw_columns!A3:A12),1)="m","Male","Female")</f>
        <v>Female</v>
      </c>
      <c r="I3" s="2">
        <f>IF(few_raw_columns!B3=" ",$T$1, few_raw_columns!B3)</f>
        <v>130</v>
      </c>
      <c r="J3" s="2">
        <f>IF(few_raw_columns!C3=" ",$T$1, few_raw_columns!C3)</f>
        <v>210</v>
      </c>
      <c r="K3" s="2" t="str">
        <f t="shared" si="0"/>
        <v>Middle</v>
      </c>
      <c r="L3" s="2" t="str">
        <f t="shared" si="1"/>
        <v>Elevated</v>
      </c>
      <c r="M3" s="2" t="str">
        <f t="shared" si="2"/>
        <v>Medium</v>
      </c>
      <c r="N3" s="2" t="str">
        <f t="shared" si="3"/>
        <v>Low Risk</v>
      </c>
    </row>
    <row r="4" spans="1:14" ht="21" customHeight="1">
      <c r="A4" t="s">
        <v>18</v>
      </c>
      <c r="B4">
        <v>72</v>
      </c>
      <c r="C4">
        <v>7</v>
      </c>
      <c r="D4">
        <v>3</v>
      </c>
      <c r="E4" s="2" t="s">
        <v>20</v>
      </c>
      <c r="F4" t="s">
        <v>13</v>
      </c>
      <c r="G4" s="1">
        <v>45306</v>
      </c>
      <c r="H4" s="2" t="str">
        <f>IF(LEFT(LOWER(few_raw_columns!A4:A13),1)="m","Male","Female")</f>
        <v>Male</v>
      </c>
      <c r="I4" s="2">
        <f>IF(few_raw_columns!B4=" ",$T$1, few_raw_columns!B4)</f>
        <v>165</v>
      </c>
      <c r="J4" s="2">
        <f>IF(few_raw_columns!C4=" ",$T$1, few_raw_columns!C4)</f>
        <v>260</v>
      </c>
      <c r="K4" s="2" t="str">
        <f t="shared" si="0"/>
        <v>Senior</v>
      </c>
      <c r="L4" s="2" t="str">
        <f t="shared" si="1"/>
        <v>High</v>
      </c>
      <c r="M4" s="2" t="str">
        <f t="shared" si="2"/>
        <v>Medium</v>
      </c>
      <c r="N4" s="2" t="str">
        <f t="shared" si="3"/>
        <v>High Risk</v>
      </c>
    </row>
    <row r="5" spans="1:14" ht="21" customHeight="1">
      <c r="A5" t="s">
        <v>21</v>
      </c>
      <c r="B5">
        <v>29</v>
      </c>
      <c r="C5">
        <v>2</v>
      </c>
      <c r="D5">
        <v>0</v>
      </c>
      <c r="E5" s="2" t="s">
        <v>23</v>
      </c>
      <c r="F5" t="s">
        <v>17</v>
      </c>
      <c r="G5" s="1">
        <v>45309</v>
      </c>
      <c r="H5" s="2" t="str">
        <f>IF(LEFT(LOWER(few_raw_columns!A5:A14),1)="m","Male","Female")</f>
        <v>Female</v>
      </c>
      <c r="I5" s="2">
        <f>IF(few_raw_columns!B5=" ",$T$1, few_raw_columns!B5)</f>
        <v>118</v>
      </c>
      <c r="J5" s="2">
        <f>IF(few_raw_columns!C5=" ",$T$1, few_raw_columns!C5)</f>
        <v>180</v>
      </c>
      <c r="K5" s="2" t="str">
        <f t="shared" si="0"/>
        <v>Young</v>
      </c>
      <c r="L5" s="2" t="str">
        <f t="shared" si="1"/>
        <v>Normal</v>
      </c>
      <c r="M5" s="2" t="str">
        <f t="shared" si="2"/>
        <v>Short</v>
      </c>
      <c r="N5" s="2" t="str">
        <f t="shared" si="3"/>
        <v>Low Risk</v>
      </c>
    </row>
    <row r="6" spans="1:14" ht="21" customHeight="1">
      <c r="A6" t="s">
        <v>24</v>
      </c>
      <c r="B6">
        <v>55</v>
      </c>
      <c r="C6">
        <v>5</v>
      </c>
      <c r="D6">
        <v>1</v>
      </c>
      <c r="E6" s="2" t="s">
        <v>16</v>
      </c>
      <c r="F6" t="s">
        <v>13</v>
      </c>
      <c r="G6" s="1">
        <v>45311</v>
      </c>
      <c r="H6" s="2" t="str">
        <f>IF(LEFT(LOWER(few_raw_columns!A6:A15),1)="m","Male","Female")</f>
        <v>Male</v>
      </c>
      <c r="I6" s="2">
        <v>150</v>
      </c>
      <c r="J6" s="2">
        <f>IF(few_raw_columns!C6=" ",$T$1, few_raw_columns!C6)</f>
        <v>220</v>
      </c>
      <c r="K6" s="2" t="str">
        <f t="shared" si="0"/>
        <v>Middle</v>
      </c>
      <c r="L6" s="2" t="str">
        <f t="shared" si="1"/>
        <v>High</v>
      </c>
      <c r="M6" s="2" t="str">
        <f t="shared" si="2"/>
        <v>Medium</v>
      </c>
      <c r="N6" s="2" t="str">
        <f t="shared" si="3"/>
        <v>Low Risk</v>
      </c>
    </row>
    <row r="7" spans="1:14" ht="21" customHeight="1">
      <c r="A7" t="s">
        <v>26</v>
      </c>
      <c r="B7">
        <v>61</v>
      </c>
      <c r="C7">
        <v>11</v>
      </c>
      <c r="D7">
        <v>4</v>
      </c>
      <c r="E7" s="2" t="s">
        <v>12</v>
      </c>
      <c r="F7" t="s">
        <v>13</v>
      </c>
      <c r="G7" s="1">
        <v>45313</v>
      </c>
      <c r="H7" s="2" t="str">
        <f>IF(LEFT(LOWER(few_raw_columns!A7:A16),1)="m","Male","Female")</f>
        <v>Female</v>
      </c>
      <c r="I7" s="2">
        <f>IF(few_raw_columns!B7=" ",$T$1, few_raw_columns!B7)</f>
        <v>170</v>
      </c>
      <c r="J7" s="2">
        <f>IF(few_raw_columns!C7=" ",$T$1, few_raw_columns!C7)</f>
        <v>280</v>
      </c>
      <c r="K7" s="2" t="str">
        <f t="shared" si="0"/>
        <v>Senior</v>
      </c>
      <c r="L7" s="2" t="str">
        <f t="shared" si="1"/>
        <v>High</v>
      </c>
      <c r="M7" s="2" t="str">
        <f t="shared" si="2"/>
        <v>Long</v>
      </c>
      <c r="N7" s="2" t="str">
        <f t="shared" si="3"/>
        <v>High Risk</v>
      </c>
    </row>
    <row r="8" spans="1:14" ht="21" customHeight="1">
      <c r="A8" t="s">
        <v>28</v>
      </c>
      <c r="B8">
        <v>38</v>
      </c>
      <c r="C8">
        <v>3</v>
      </c>
      <c r="D8">
        <v>1</v>
      </c>
      <c r="E8" s="2" t="s">
        <v>20</v>
      </c>
      <c r="F8" t="s">
        <v>17</v>
      </c>
      <c r="G8" s="1">
        <v>45316</v>
      </c>
      <c r="H8" s="2" t="str">
        <f>IF(LEFT(LOWER(few_raw_columns!A8:A17),1)="m","Male","Female")</f>
        <v>Male</v>
      </c>
      <c r="I8" s="2">
        <f>IF(few_raw_columns!B8=" ",$T$1, few_raw_columns!B8)</f>
        <v>142</v>
      </c>
      <c r="J8" s="2">
        <f>IF(few_raw_columns!C8=" ",$T$1, few_raw_columns!C8)</f>
        <v>200</v>
      </c>
      <c r="K8" s="2" t="str">
        <f t="shared" si="0"/>
        <v>Young</v>
      </c>
      <c r="L8" s="2" t="str">
        <f t="shared" si="1"/>
        <v>High</v>
      </c>
      <c r="M8" s="2" t="str">
        <f t="shared" si="2"/>
        <v>Short</v>
      </c>
      <c r="N8" s="2" t="str">
        <f t="shared" si="3"/>
        <v>Low Risk</v>
      </c>
    </row>
    <row r="9" spans="1:14" ht="21" customHeight="1">
      <c r="A9" t="s">
        <v>29</v>
      </c>
      <c r="B9">
        <v>80</v>
      </c>
      <c r="C9">
        <v>14</v>
      </c>
      <c r="D9">
        <v>5</v>
      </c>
      <c r="E9" s="2" t="s">
        <v>12</v>
      </c>
      <c r="F9" t="s">
        <v>13</v>
      </c>
      <c r="G9" s="1">
        <v>45319</v>
      </c>
      <c r="H9" s="2" t="str">
        <f>IF(LEFT(LOWER(few_raw_columns!A9:A18),1)="m","Male","Female")</f>
        <v>Female</v>
      </c>
      <c r="I9" s="2">
        <f>IF(few_raw_columns!B9=" ",$T$1, few_raw_columns!B9)</f>
        <v>180</v>
      </c>
      <c r="J9" s="2">
        <f>IF(few_raw_columns!C9=" ",$T$1, few_raw_columns!C9)</f>
        <v>300</v>
      </c>
      <c r="K9" s="2" t="str">
        <f t="shared" si="0"/>
        <v>Senior</v>
      </c>
      <c r="L9" s="2" t="str">
        <f t="shared" si="1"/>
        <v>High</v>
      </c>
      <c r="M9" s="2" t="str">
        <f t="shared" si="2"/>
        <v>Long</v>
      </c>
      <c r="N9" s="2" t="str">
        <f t="shared" si="3"/>
        <v>High Risk</v>
      </c>
    </row>
    <row r="10" spans="1:14" ht="21" customHeight="1">
      <c r="A10" t="s">
        <v>31</v>
      </c>
      <c r="B10">
        <v>50</v>
      </c>
      <c r="C10">
        <v>4</v>
      </c>
      <c r="D10">
        <v>0</v>
      </c>
      <c r="E10" s="2" t="s">
        <v>23</v>
      </c>
      <c r="F10" t="s">
        <v>17</v>
      </c>
      <c r="G10" s="1">
        <v>45323</v>
      </c>
      <c r="H10" s="2" t="str">
        <f>IF(LEFT(LOWER(few_raw_columns!A10:A19),1)="m","Male","Female")</f>
        <v>Male</v>
      </c>
      <c r="I10" s="2">
        <f>IF(few_raw_columns!B10=" ",$T$1, few_raw_columns!B10)</f>
        <v>125</v>
      </c>
      <c r="J10" s="2">
        <v>240</v>
      </c>
      <c r="K10" s="2" t="str">
        <f t="shared" si="0"/>
        <v>Middle</v>
      </c>
      <c r="L10" s="2" t="str">
        <f t="shared" si="1"/>
        <v>Elevated</v>
      </c>
      <c r="M10" s="2" t="str">
        <f t="shared" si="2"/>
        <v>Medium</v>
      </c>
      <c r="N10" s="2" t="str">
        <f t="shared" si="3"/>
        <v>Low Risk</v>
      </c>
    </row>
    <row r="11" spans="1:14" ht="21" customHeight="1">
      <c r="A11" t="s">
        <v>32</v>
      </c>
      <c r="B11">
        <v>69</v>
      </c>
      <c r="C11">
        <v>8</v>
      </c>
      <c r="D11">
        <v>2</v>
      </c>
      <c r="E11" s="2" t="s">
        <v>16</v>
      </c>
      <c r="F11" t="s">
        <v>13</v>
      </c>
      <c r="G11" s="1">
        <v>45327</v>
      </c>
      <c r="H11" s="2" t="str">
        <f>IF(LEFT(LOWER(few_raw_columns!A11:A20),1)="m","Male","Female")</f>
        <v>Female</v>
      </c>
      <c r="I11" s="2">
        <f>IF(few_raw_columns!B11=" ",$T$1, few_raw_columns!B11)</f>
        <v>160</v>
      </c>
      <c r="J11" s="2">
        <f>IF(few_raw_columns!C11=" ",$T$1, few_raw_columns!C11)</f>
        <v>255</v>
      </c>
      <c r="K11" s="2" t="str">
        <f t="shared" si="0"/>
        <v>Senior</v>
      </c>
      <c r="L11" s="2" t="str">
        <f t="shared" si="1"/>
        <v>High</v>
      </c>
      <c r="M11" s="2" t="str">
        <f t="shared" si="2"/>
        <v>Long</v>
      </c>
      <c r="N11" s="2" t="str">
        <f t="shared" si="3"/>
        <v>High Risk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E8" sqref="E8"/>
    </sheetView>
  </sheetViews>
  <sheetFormatPr defaultRowHeight="15"/>
  <cols>
    <col min="1" max="1" width="14.7109375"/>
    <col min="2" max="2" width="13" customWidth="1"/>
    <col min="3" max="3" width="13.140625" customWidth="1"/>
    <col min="4" max="4" width="12.7109375" customWidth="1"/>
  </cols>
  <sheetData>
    <row r="1" spans="1:4" ht="15.75" thickBot="1">
      <c r="A1" t="s">
        <v>2</v>
      </c>
      <c r="B1" s="3" t="s">
        <v>5</v>
      </c>
      <c r="C1" s="7" t="s">
        <v>6</v>
      </c>
      <c r="D1" t="s">
        <v>41</v>
      </c>
    </row>
    <row r="2" spans="1:4" ht="15.75" thickTop="1">
      <c r="A2" t="s">
        <v>11</v>
      </c>
      <c r="B2" s="4">
        <v>150</v>
      </c>
      <c r="C2" s="8">
        <v>240</v>
      </c>
      <c r="D2" s="2" t="s">
        <v>12</v>
      </c>
    </row>
    <row r="3" spans="1:4">
      <c r="A3" t="s">
        <v>15</v>
      </c>
      <c r="B3" s="5">
        <v>130</v>
      </c>
      <c r="C3" s="9">
        <v>210</v>
      </c>
      <c r="D3" s="2" t="s">
        <v>16</v>
      </c>
    </row>
    <row r="4" spans="1:4">
      <c r="A4" t="s">
        <v>19</v>
      </c>
      <c r="B4" s="4">
        <v>165</v>
      </c>
      <c r="C4" s="8">
        <v>260</v>
      </c>
      <c r="D4" s="2" t="s">
        <v>20</v>
      </c>
    </row>
    <row r="5" spans="1:4">
      <c r="A5" t="s">
        <v>22</v>
      </c>
      <c r="B5" s="5">
        <v>118</v>
      </c>
      <c r="C5" s="9">
        <v>180</v>
      </c>
      <c r="D5" s="2" t="s">
        <v>23</v>
      </c>
    </row>
    <row r="6" spans="1:4">
      <c r="A6" t="s">
        <v>25</v>
      </c>
      <c r="B6" s="4"/>
      <c r="C6" s="8">
        <v>220</v>
      </c>
      <c r="D6" s="2" t="s">
        <v>16</v>
      </c>
    </row>
    <row r="7" spans="1:4">
      <c r="A7" t="s">
        <v>27</v>
      </c>
      <c r="B7" s="5">
        <v>170</v>
      </c>
      <c r="C7" s="9">
        <v>280</v>
      </c>
      <c r="D7" s="2" t="s">
        <v>12</v>
      </c>
    </row>
    <row r="8" spans="1:4">
      <c r="A8" t="s">
        <v>11</v>
      </c>
      <c r="B8" s="4">
        <v>142</v>
      </c>
      <c r="C8" s="8">
        <v>200</v>
      </c>
      <c r="D8" s="2" t="s">
        <v>20</v>
      </c>
    </row>
    <row r="9" spans="1:4">
      <c r="A9" t="s">
        <v>30</v>
      </c>
      <c r="B9" s="5">
        <v>180</v>
      </c>
      <c r="C9" s="9">
        <v>300</v>
      </c>
      <c r="D9" s="2" t="s">
        <v>12</v>
      </c>
    </row>
    <row r="10" spans="1:4">
      <c r="A10" t="s">
        <v>19</v>
      </c>
      <c r="B10" s="4">
        <v>125</v>
      </c>
      <c r="C10" s="8"/>
      <c r="D10" s="2" t="s">
        <v>23</v>
      </c>
    </row>
    <row r="11" spans="1:4">
      <c r="A11" t="s">
        <v>33</v>
      </c>
      <c r="B11" s="6">
        <v>160</v>
      </c>
      <c r="C11" s="10">
        <v>255</v>
      </c>
      <c r="D11" s="2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7" sqref="G17"/>
    </sheetView>
  </sheetViews>
  <sheetFormatPr defaultRowHeight="15"/>
  <cols>
    <col min="1" max="1" width="15.85546875" customWidth="1"/>
    <col min="2" max="2" width="20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healthcare_readmission_analysis</vt:lpstr>
      <vt:lpstr>few_raw_columns</vt:lpstr>
      <vt:lpstr>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babu</dc:creator>
  <cp:lastModifiedBy>hp</cp:lastModifiedBy>
  <dcterms:modified xsi:type="dcterms:W3CDTF">2026-02-08T09:38:06Z</dcterms:modified>
</cp:coreProperties>
</file>