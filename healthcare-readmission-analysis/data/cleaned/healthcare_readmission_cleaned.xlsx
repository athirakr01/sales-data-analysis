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15" windowWidth="19875" windowHeight="7725"/>
  </bookViews>
  <sheets>
    <sheet name="healthcare_readmission_cleaned" sheetId="1" r:id="rId1"/>
    <sheet name="Sheet2" sheetId="2" r:id="rId2"/>
    <sheet name="Sheet3" sheetId="3" r:id="rId3"/>
  </sheets>
  <externalReferences>
    <externalReference r:id="rId4"/>
  </externalReferences>
  <calcPr calcId="125725"/>
</workbook>
</file>

<file path=xl/calcChain.xml><?xml version="1.0" encoding="utf-8"?>
<calcChain xmlns="http://schemas.openxmlformats.org/spreadsheetml/2006/main">
  <c r="J11" i="1"/>
  <c r="I11"/>
  <c r="H11"/>
  <c r="I10"/>
  <c r="H10"/>
  <c r="J9"/>
  <c r="I9"/>
  <c r="H9"/>
  <c r="J8"/>
  <c r="I8"/>
  <c r="H8"/>
  <c r="J7"/>
  <c r="I7"/>
  <c r="H7"/>
  <c r="J6"/>
  <c r="H6"/>
  <c r="J5"/>
  <c r="I5"/>
  <c r="H5"/>
  <c r="J4"/>
  <c r="I4"/>
  <c r="H4"/>
  <c r="J3"/>
  <c r="I3"/>
  <c r="H3"/>
  <c r="J2"/>
  <c r="I2"/>
  <c r="H2"/>
</calcChain>
</file>

<file path=xl/sharedStrings.xml><?xml version="1.0" encoding="utf-8"?>
<sst xmlns="http://schemas.openxmlformats.org/spreadsheetml/2006/main" count="40" uniqueCount="26">
  <si>
    <t>patient_id</t>
  </si>
  <si>
    <t>age</t>
  </si>
  <si>
    <t>length_of_stay</t>
  </si>
  <si>
    <t>previous_admissions</t>
  </si>
  <si>
    <t>diagnosis</t>
  </si>
  <si>
    <t>readmitted</t>
  </si>
  <si>
    <t>admission_date</t>
  </si>
  <si>
    <t>gender_clean</t>
  </si>
  <si>
    <t>systolic_bp_clean</t>
  </si>
  <si>
    <t>cholesterol_clean</t>
  </si>
  <si>
    <t>P001</t>
  </si>
  <si>
    <t>Heart Failure</t>
  </si>
  <si>
    <t>Yes</t>
  </si>
  <si>
    <t>P002</t>
  </si>
  <si>
    <t>Diabetes</t>
  </si>
  <si>
    <t>No</t>
  </si>
  <si>
    <t>P003</t>
  </si>
  <si>
    <t>Hypertension</t>
  </si>
  <si>
    <t>P004</t>
  </si>
  <si>
    <t>Asthma</t>
  </si>
  <si>
    <t>P005</t>
  </si>
  <si>
    <t>P006</t>
  </si>
  <si>
    <t>P007</t>
  </si>
  <si>
    <t>P008</t>
  </si>
  <si>
    <t>P009</t>
  </si>
  <si>
    <t>P010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</si>
</sst>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ealthcare_readmission_cleane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_table"/>
      <sheetName val="healthcare_readmission_analysis"/>
      <sheetName val="few_raw_columns"/>
      <sheetName val="charts"/>
    </sheetNames>
    <sheetDataSet>
      <sheetData sheetId="0" refreshError="1"/>
      <sheetData sheetId="1" refreshError="1"/>
      <sheetData sheetId="2">
        <row r="2">
          <cell r="A2" t="str">
            <v>M</v>
          </cell>
          <cell r="B2">
            <v>150</v>
          </cell>
          <cell r="C2">
            <v>240</v>
          </cell>
        </row>
        <row r="3">
          <cell r="A3" t="str">
            <v>female</v>
          </cell>
          <cell r="B3">
            <v>130</v>
          </cell>
          <cell r="C3">
            <v>210</v>
          </cell>
        </row>
        <row r="4">
          <cell r="A4" t="str">
            <v>MALE</v>
          </cell>
          <cell r="B4">
            <v>165</v>
          </cell>
          <cell r="C4">
            <v>260</v>
          </cell>
        </row>
        <row r="5">
          <cell r="A5" t="str">
            <v>F</v>
          </cell>
          <cell r="B5">
            <v>118</v>
          </cell>
          <cell r="C5">
            <v>180</v>
          </cell>
        </row>
        <row r="6">
          <cell r="A6" t="str">
            <v>male</v>
          </cell>
          <cell r="C6">
            <v>220</v>
          </cell>
        </row>
        <row r="7">
          <cell r="A7" t="str">
            <v>FEMALE</v>
          </cell>
          <cell r="B7">
            <v>170</v>
          </cell>
          <cell r="C7">
            <v>280</v>
          </cell>
        </row>
        <row r="8">
          <cell r="A8" t="str">
            <v>M</v>
          </cell>
          <cell r="B8">
            <v>142</v>
          </cell>
          <cell r="C8">
            <v>200</v>
          </cell>
        </row>
        <row r="9">
          <cell r="A9" t="str">
            <v>f</v>
          </cell>
          <cell r="B9">
            <v>180</v>
          </cell>
          <cell r="C9">
            <v>300</v>
          </cell>
        </row>
        <row r="10">
          <cell r="A10" t="str">
            <v>MALE</v>
          </cell>
          <cell r="B10">
            <v>125</v>
          </cell>
        </row>
        <row r="11">
          <cell r="A11" t="str">
            <v>Female</v>
          </cell>
          <cell r="B11">
            <v>160</v>
          </cell>
          <cell r="C11">
            <v>255</v>
          </cell>
        </row>
      </sheetData>
      <sheetData sheetId="3" refreshError="1"/>
    </sheetDataSet>
  </externalBook>
</externalLink>
</file>

<file path=xl/tables/table1.xml><?xml version="1.0" encoding="utf-8"?>
<table xmlns="http://schemas.openxmlformats.org/spreadsheetml/2006/main" id="1" name="Table1" displayName="Table1" ref="A1:J11" totalsRowShown="0">
  <autoFilter ref="A1:J11"/>
  <tableColumns count="10">
    <tableColumn id="1" name="patient_id"/>
    <tableColumn id="2" name="age"/>
    <tableColumn id="5" name="length_of_stay"/>
    <tableColumn id="8" name="previous_admissions"/>
    <tableColumn id="19" name="diagnosis" dataDxfId="4"/>
    <tableColumn id="9" name="readmitted"/>
    <tableColumn id="10" name="admission_date" dataDxfId="3"/>
    <tableColumn id="11" name="gender_clean" dataDxfId="2">
      <calculatedColumnFormula>IF(LEFT(LOWER([1]few_raw_columns!A2:A11),1)="m","Male","Female")</calculatedColumnFormula>
    </tableColumn>
    <tableColumn id="12" name="systolic_bp_clean" dataDxfId="1">
      <calculatedColumnFormula>IF([1]few_raw_columns!B2=" ",$P$1, [1]few_raw_columns!B2)</calculatedColumnFormula>
    </tableColumn>
    <tableColumn id="13" name="cholesterol_clean" dataDxfId="0">
      <calculatedColumnFormula>IF([1]few_raw_columns!C2=" ",$P$1, [1]few_raw_columns!C2)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selection activeCell="L6" sqref="L6"/>
    </sheetView>
  </sheetViews>
  <sheetFormatPr defaultColWidth="15.85546875" defaultRowHeight="23.25" customHeight="1"/>
  <sheetData>
    <row r="1" spans="1:10" ht="23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23.25" customHeight="1">
      <c r="A2" t="s">
        <v>10</v>
      </c>
      <c r="B2">
        <v>67</v>
      </c>
      <c r="C2">
        <v>9</v>
      </c>
      <c r="D2">
        <v>2</v>
      </c>
      <c r="E2" s="1" t="s">
        <v>11</v>
      </c>
      <c r="F2" t="s">
        <v>12</v>
      </c>
      <c r="G2" s="2">
        <v>45301</v>
      </c>
      <c r="H2" s="1" t="str">
        <f>IF(LEFT(LOWER([1]few_raw_columns!A2:A11),1)="m","Male","Female")</f>
        <v>Male</v>
      </c>
      <c r="I2" s="1">
        <f>IF([1]few_raw_columns!B2=" ",$P$1, [1]few_raw_columns!B2)</f>
        <v>150</v>
      </c>
      <c r="J2" s="1">
        <f>IF([1]few_raw_columns!C2=" ",$P$1, [1]few_raw_columns!C2)</f>
        <v>240</v>
      </c>
    </row>
    <row r="3" spans="1:10" ht="23.25" customHeight="1">
      <c r="A3" t="s">
        <v>13</v>
      </c>
      <c r="B3">
        <v>45</v>
      </c>
      <c r="C3">
        <v>4</v>
      </c>
      <c r="D3">
        <v>0</v>
      </c>
      <c r="E3" s="1" t="s">
        <v>14</v>
      </c>
      <c r="F3" t="s">
        <v>15</v>
      </c>
      <c r="G3" s="2">
        <v>45303</v>
      </c>
      <c r="H3" s="1" t="str">
        <f>IF(LEFT(LOWER([1]few_raw_columns!A3:A12),1)="m","Male","Female")</f>
        <v>Female</v>
      </c>
      <c r="I3" s="1">
        <f>IF([1]few_raw_columns!B3=" ",$P$1, [1]few_raw_columns!B3)</f>
        <v>130</v>
      </c>
      <c r="J3" s="1">
        <f>IF([1]few_raw_columns!C3=" ",$P$1, [1]few_raw_columns!C3)</f>
        <v>210</v>
      </c>
    </row>
    <row r="4" spans="1:10" ht="23.25" customHeight="1">
      <c r="A4" t="s">
        <v>16</v>
      </c>
      <c r="B4">
        <v>72</v>
      </c>
      <c r="C4">
        <v>7</v>
      </c>
      <c r="D4">
        <v>3</v>
      </c>
      <c r="E4" s="1" t="s">
        <v>17</v>
      </c>
      <c r="F4" t="s">
        <v>12</v>
      </c>
      <c r="G4" s="2">
        <v>45306</v>
      </c>
      <c r="H4" s="1" t="str">
        <f>IF(LEFT(LOWER([1]few_raw_columns!A4:A13),1)="m","Male","Female")</f>
        <v>Male</v>
      </c>
      <c r="I4" s="1">
        <f>IF([1]few_raw_columns!B4=" ",$P$1, [1]few_raw_columns!B4)</f>
        <v>165</v>
      </c>
      <c r="J4" s="1">
        <f>IF([1]few_raw_columns!C4=" ",$P$1, [1]few_raw_columns!C4)</f>
        <v>260</v>
      </c>
    </row>
    <row r="5" spans="1:10" ht="23.25" customHeight="1">
      <c r="A5" t="s">
        <v>18</v>
      </c>
      <c r="B5">
        <v>29</v>
      </c>
      <c r="C5">
        <v>2</v>
      </c>
      <c r="D5">
        <v>0</v>
      </c>
      <c r="E5" s="1" t="s">
        <v>19</v>
      </c>
      <c r="F5" t="s">
        <v>15</v>
      </c>
      <c r="G5" s="2">
        <v>45309</v>
      </c>
      <c r="H5" s="1" t="str">
        <f>IF(LEFT(LOWER([1]few_raw_columns!A5:A14),1)="m","Male","Female")</f>
        <v>Female</v>
      </c>
      <c r="I5" s="1">
        <f>IF([1]few_raw_columns!B5=" ",$P$1, [1]few_raw_columns!B5)</f>
        <v>118</v>
      </c>
      <c r="J5" s="1">
        <f>IF([1]few_raw_columns!C5=" ",$P$1, [1]few_raw_columns!C5)</f>
        <v>180</v>
      </c>
    </row>
    <row r="6" spans="1:10" ht="23.25" customHeight="1">
      <c r="A6" t="s">
        <v>20</v>
      </c>
      <c r="B6">
        <v>55</v>
      </c>
      <c r="C6">
        <v>5</v>
      </c>
      <c r="D6">
        <v>1</v>
      </c>
      <c r="E6" s="1" t="s">
        <v>14</v>
      </c>
      <c r="F6" t="s">
        <v>12</v>
      </c>
      <c r="G6" s="2">
        <v>45311</v>
      </c>
      <c r="H6" s="1" t="str">
        <f>IF(LEFT(LOWER([1]few_raw_columns!A6:A15),1)="m","Male","Female")</f>
        <v>Male</v>
      </c>
      <c r="I6" s="1">
        <v>150</v>
      </c>
      <c r="J6" s="1">
        <f>IF([1]few_raw_columns!C6=" ",$P$1, [1]few_raw_columns!C6)</f>
        <v>220</v>
      </c>
    </row>
    <row r="7" spans="1:10" ht="23.25" customHeight="1">
      <c r="A7" t="s">
        <v>21</v>
      </c>
      <c r="B7">
        <v>61</v>
      </c>
      <c r="C7">
        <v>11</v>
      </c>
      <c r="D7">
        <v>4</v>
      </c>
      <c r="E7" s="1" t="s">
        <v>11</v>
      </c>
      <c r="F7" t="s">
        <v>12</v>
      </c>
      <c r="G7" s="2">
        <v>45313</v>
      </c>
      <c r="H7" s="1" t="str">
        <f>IF(LEFT(LOWER([1]few_raw_columns!A7:A16),1)="m","Male","Female")</f>
        <v>Female</v>
      </c>
      <c r="I7" s="1">
        <f>IF([1]few_raw_columns!B7=" ",$P$1, [1]few_raw_columns!B7)</f>
        <v>170</v>
      </c>
      <c r="J7" s="1">
        <f>IF([1]few_raw_columns!C7=" ",$P$1, [1]few_raw_columns!C7)</f>
        <v>280</v>
      </c>
    </row>
    <row r="8" spans="1:10" ht="23.25" customHeight="1">
      <c r="A8" t="s">
        <v>22</v>
      </c>
      <c r="B8">
        <v>38</v>
      </c>
      <c r="C8">
        <v>3</v>
      </c>
      <c r="D8">
        <v>1</v>
      </c>
      <c r="E8" s="1" t="s">
        <v>17</v>
      </c>
      <c r="F8" t="s">
        <v>15</v>
      </c>
      <c r="G8" s="2">
        <v>45316</v>
      </c>
      <c r="H8" s="1" t="str">
        <f>IF(LEFT(LOWER([1]few_raw_columns!A8:A17),1)="m","Male","Female")</f>
        <v>Male</v>
      </c>
      <c r="I8" s="1">
        <f>IF([1]few_raw_columns!B8=" ",$P$1, [1]few_raw_columns!B8)</f>
        <v>142</v>
      </c>
      <c r="J8" s="1">
        <f>IF([1]few_raw_columns!C8=" ",$P$1, [1]few_raw_columns!C8)</f>
        <v>200</v>
      </c>
    </row>
    <row r="9" spans="1:10" ht="23.25" customHeight="1">
      <c r="A9" t="s">
        <v>23</v>
      </c>
      <c r="B9">
        <v>80</v>
      </c>
      <c r="C9">
        <v>14</v>
      </c>
      <c r="D9">
        <v>5</v>
      </c>
      <c r="E9" s="1" t="s">
        <v>11</v>
      </c>
      <c r="F9" t="s">
        <v>12</v>
      </c>
      <c r="G9" s="2">
        <v>45319</v>
      </c>
      <c r="H9" s="1" t="str">
        <f>IF(LEFT(LOWER([1]few_raw_columns!A9:A18),1)="m","Male","Female")</f>
        <v>Female</v>
      </c>
      <c r="I9" s="1">
        <f>IF([1]few_raw_columns!B9=" ",$P$1, [1]few_raw_columns!B9)</f>
        <v>180</v>
      </c>
      <c r="J9" s="1">
        <f>IF([1]few_raw_columns!C9=" ",$P$1, [1]few_raw_columns!C9)</f>
        <v>300</v>
      </c>
    </row>
    <row r="10" spans="1:10" ht="23.25" customHeight="1">
      <c r="A10" t="s">
        <v>24</v>
      </c>
      <c r="B10">
        <v>50</v>
      </c>
      <c r="C10">
        <v>4</v>
      </c>
      <c r="D10">
        <v>0</v>
      </c>
      <c r="E10" s="1" t="s">
        <v>19</v>
      </c>
      <c r="F10" t="s">
        <v>15</v>
      </c>
      <c r="G10" s="2">
        <v>45323</v>
      </c>
      <c r="H10" s="1" t="str">
        <f>IF(LEFT(LOWER([1]few_raw_columns!A10:A19),1)="m","Male","Female")</f>
        <v>Male</v>
      </c>
      <c r="I10" s="1">
        <f>IF([1]few_raw_columns!B10=" ",$P$1, [1]few_raw_columns!B10)</f>
        <v>125</v>
      </c>
      <c r="J10" s="1">
        <v>240</v>
      </c>
    </row>
    <row r="11" spans="1:10" ht="23.25" customHeight="1">
      <c r="A11" t="s">
        <v>25</v>
      </c>
      <c r="B11">
        <v>69</v>
      </c>
      <c r="C11">
        <v>8</v>
      </c>
      <c r="D11">
        <v>2</v>
      </c>
      <c r="E11" s="1" t="s">
        <v>14</v>
      </c>
      <c r="F11" t="s">
        <v>12</v>
      </c>
      <c r="G11" s="2">
        <v>45327</v>
      </c>
      <c r="H11" s="1" t="str">
        <f>IF(LEFT(LOWER([1]few_raw_columns!A11:A20),1)="m","Male","Female")</f>
        <v>Female</v>
      </c>
      <c r="I11" s="1">
        <f>IF([1]few_raw_columns!B11=" ",$P$1, [1]few_raw_columns!B11)</f>
        <v>160</v>
      </c>
      <c r="J11" s="1">
        <f>IF([1]few_raw_columns!C11=" ",$P$1, [1]few_raw_columns!C11)</f>
        <v>255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healthcare_readmission_cleaned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2026-02-08T09:29:59Z</dcterms:created>
  <dcterms:modified xsi:type="dcterms:W3CDTF">2026-02-08T09:39:56Z</dcterms:modified>
</cp:coreProperties>
</file>